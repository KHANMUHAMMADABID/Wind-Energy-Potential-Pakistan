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1-NARO_Pakistan_Paper\1-Pakistan-DEM\2-Work-for-reanalysis\Wind-Turbine-energy-output\"/>
    </mc:Choice>
  </mc:AlternateContent>
  <xr:revisionPtr revIDLastSave="0" documentId="13_ncr:1_{6D6A45C2-D504-47B0-B5F7-EA5B9A8420B6}" xr6:coauthVersionLast="47" xr6:coauthVersionMax="47" xr10:uidLastSave="{00000000-0000-0000-0000-000000000000}"/>
  <bookViews>
    <workbookView xWindow="-24120" yWindow="1335" windowWidth="24240" windowHeight="13020" xr2:uid="{00000000-000D-0000-FFFF-FFFF00000000}"/>
  </bookViews>
  <sheets>
    <sheet name="Sheet01" sheetId="3" r:id="rId1"/>
    <sheet name="Sheet02" sheetId="1" r:id="rId2"/>
    <sheet name="Sheet03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1" l="1"/>
  <c r="F5" i="1"/>
  <c r="F6" i="1"/>
  <c r="F3" i="1"/>
</calcChain>
</file>

<file path=xl/sharedStrings.xml><?xml version="1.0" encoding="utf-8"?>
<sst xmlns="http://schemas.openxmlformats.org/spreadsheetml/2006/main" count="51" uniqueCount="46">
  <si>
    <t>Turbine Model</t>
  </si>
  <si>
    <t>Aircon 10/10 kW</t>
  </si>
  <si>
    <t>Hub height (m)</t>
  </si>
  <si>
    <t>Turbine models</t>
  </si>
  <si>
    <t>Capacity Factor (%)</t>
  </si>
  <si>
    <t>Mean annual energy output of wind turbine (MWh)</t>
  </si>
  <si>
    <t>NM48/750</t>
  </si>
  <si>
    <t xml:space="preserve"> V80/1800</t>
  </si>
  <si>
    <t>MM100</t>
  </si>
  <si>
    <t>Rated Power</t>
  </si>
  <si>
    <t>Rate Wind Speed</t>
  </si>
  <si>
    <t>Cut-in Wind Speed</t>
  </si>
  <si>
    <t>Cut-off Wind Speed</t>
  </si>
  <si>
    <t>Rotor Diameter</t>
  </si>
  <si>
    <t>Height of Mast</t>
  </si>
  <si>
    <t>Number of Blades</t>
  </si>
  <si>
    <t>Sweep Area (m²)</t>
  </si>
  <si>
    <t>10 kW</t>
  </si>
  <si>
    <t>11 m/s</t>
  </si>
  <si>
    <t>2.5 m/s</t>
  </si>
  <si>
    <t>32 m/s</t>
  </si>
  <si>
    <t>7.1 m</t>
  </si>
  <si>
    <t>39.6 m²</t>
  </si>
  <si>
    <t>750 kW</t>
  </si>
  <si>
    <t>16 m/s</t>
  </si>
  <si>
    <t xml:space="preserve"> 3,5 m/s</t>
  </si>
  <si>
    <t>25 m/s</t>
  </si>
  <si>
    <t xml:space="preserve"> 48.2 m</t>
  </si>
  <si>
    <t>1,825 m²</t>
  </si>
  <si>
    <t>1,800 kW</t>
  </si>
  <si>
    <t>15 m/s</t>
  </si>
  <si>
    <t>30 m/s</t>
  </si>
  <si>
    <t>80 m</t>
  </si>
  <si>
    <t xml:space="preserve"> 5,027 m²</t>
  </si>
  <si>
    <t>2,000 kW</t>
  </si>
  <si>
    <t>11,5 m/s</t>
  </si>
  <si>
    <t>3,5 m/s</t>
  </si>
  <si>
    <t>22 m/s</t>
  </si>
  <si>
    <t>100 m</t>
  </si>
  <si>
    <t xml:space="preserve"> 7,854 m²</t>
  </si>
  <si>
    <t xml:space="preserve">Carbon Emission Savings </t>
  </si>
  <si>
    <t>The recommended emission factor for Pakistan is currently 0.606 tCO₂/MWh, based on recent peer-reviewed and policy literature.</t>
  </si>
  <si>
    <t>e</t>
  </si>
  <si>
    <t>Year</t>
  </si>
  <si>
    <t>a values</t>
  </si>
  <si>
    <t>ANNUAL (m/s) at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</si>
</sst>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sz val="16"/>
      <color theme="1"/>
      <name val="Helvetica Neue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FE58-464F-3D44-A094-D353EDDC2583}">
  <dimension ref="A1:C32"/>
  <sheetViews>
    <sheetView tabSelected="1" workbookViewId="0">
      <selection activeCell="E5" sqref="E5"/>
    </sheetView>
  </sheetViews>
  <sheetFormatPr defaultColWidth="10.77734375" defaultRowHeight="14.4"/>
  <cols>
    <col min="1" max="1" width="8.88671875" style="2" customWidth="1"/>
    <col min="2" max="2" width="14.88671875" style="2" customWidth="1"/>
    <col min="3" max="3" width="23.77734375" style="2" bestFit="1" customWidth="1"/>
    <col min="4" max="16384" width="10.77734375" style="2"/>
  </cols>
  <sheetData>
    <row r="1" spans="1:3">
      <c r="A1" s="2" t="s">
        <v>43</v>
      </c>
      <c r="B1" s="2" t="s">
        <v>44</v>
      </c>
      <c r="C1" s="2" t="s">
        <v>45</v>
      </c>
    </row>
    <row r="2" spans="1:3">
      <c r="A2" s="2">
        <v>1970</v>
      </c>
      <c r="B2" s="2">
        <v>0.24279452870159704</v>
      </c>
      <c r="C2" s="2">
        <v>4.2440445560728586</v>
      </c>
    </row>
    <row r="3" spans="1:3">
      <c r="A3" s="2">
        <v>1971</v>
      </c>
      <c r="B3" s="2">
        <v>0.23751677044732675</v>
      </c>
      <c r="C3" s="2">
        <v>4.506366816427299</v>
      </c>
    </row>
    <row r="4" spans="1:3">
      <c r="A4" s="2">
        <v>1972</v>
      </c>
      <c r="B4" s="2">
        <v>0.23725559424950293</v>
      </c>
      <c r="C4" s="2">
        <v>4.5197611804094011</v>
      </c>
    </row>
    <row r="5" spans="1:3">
      <c r="A5" s="2">
        <v>1973</v>
      </c>
      <c r="B5" s="2">
        <v>0.2377484131871819</v>
      </c>
      <c r="C5" s="2">
        <v>4.4945202883241162</v>
      </c>
    </row>
    <row r="6" spans="1:3">
      <c r="A6" s="2">
        <v>1974</v>
      </c>
      <c r="B6" s="2">
        <v>0.23576242576018988</v>
      </c>
      <c r="C6" s="2">
        <v>4.5971060226323388</v>
      </c>
    </row>
    <row r="7" spans="1:3">
      <c r="A7" s="2">
        <v>1975</v>
      </c>
      <c r="B7" s="2">
        <v>0.23984051985748422</v>
      </c>
      <c r="C7" s="2">
        <v>4.3889279811097994</v>
      </c>
    </row>
    <row r="8" spans="1:3">
      <c r="A8" s="2">
        <v>1976</v>
      </c>
      <c r="B8" s="2">
        <v>0.23925186849885879</v>
      </c>
      <c r="C8" s="2">
        <v>4.4183848979303528</v>
      </c>
    </row>
    <row r="9" spans="1:3">
      <c r="A9" s="2">
        <v>1977</v>
      </c>
      <c r="B9" s="2">
        <v>0.23782396907986561</v>
      </c>
      <c r="C9" s="2">
        <v>4.4906629956977175</v>
      </c>
    </row>
    <row r="10" spans="1:3">
      <c r="A10" s="2">
        <v>1978</v>
      </c>
      <c r="B10" s="2">
        <v>0.24368363193782119</v>
      </c>
      <c r="C10" s="2">
        <v>4.2013809691901072</v>
      </c>
    </row>
    <row r="11" spans="1:3">
      <c r="A11" s="2">
        <v>1979</v>
      </c>
      <c r="B11" s="2">
        <v>0.2413579840649592</v>
      </c>
      <c r="C11" s="2">
        <v>4.3138944903581278</v>
      </c>
    </row>
    <row r="12" spans="1:3">
      <c r="A12" s="2">
        <v>1980</v>
      </c>
      <c r="B12" s="2">
        <v>0.23951444175268577</v>
      </c>
      <c r="C12" s="2">
        <v>4.4052210274790919</v>
      </c>
    </row>
    <row r="13" spans="1:3">
      <c r="A13" s="2">
        <v>1981</v>
      </c>
      <c r="B13" s="2">
        <v>0.2423330204319438</v>
      </c>
      <c r="C13" s="2">
        <v>4.2663605408927978</v>
      </c>
    </row>
    <row r="14" spans="1:3">
      <c r="A14" s="2">
        <v>1982</v>
      </c>
      <c r="B14" s="2">
        <v>0.24184414793765663</v>
      </c>
      <c r="C14" s="2">
        <v>4.2901277056277056</v>
      </c>
    </row>
    <row r="15" spans="1:3">
      <c r="A15" s="2">
        <v>1983</v>
      </c>
      <c r="B15" s="2">
        <v>0.24739289514242685</v>
      </c>
      <c r="C15" s="2">
        <v>4.0279701137340034</v>
      </c>
    </row>
    <row r="16" spans="1:3">
      <c r="A16" s="2">
        <v>1984</v>
      </c>
      <c r="B16" s="2">
        <v>0.24450624580129113</v>
      </c>
      <c r="C16" s="2">
        <v>4.1622899377248448</v>
      </c>
    </row>
    <row r="17" spans="1:3">
      <c r="A17" s="2">
        <v>1985</v>
      </c>
      <c r="B17" s="2">
        <v>0.2418490383171697</v>
      </c>
      <c r="C17" s="2">
        <v>4.2898892991540052</v>
      </c>
    </row>
    <row r="18" spans="1:3">
      <c r="A18" s="2">
        <v>1986</v>
      </c>
      <c r="B18" s="2">
        <v>0.2397045240299927</v>
      </c>
      <c r="C18" s="2">
        <v>4.3957159054097827</v>
      </c>
    </row>
    <row r="19" spans="1:3">
      <c r="A19" s="2">
        <v>1987</v>
      </c>
      <c r="B19" s="2">
        <v>0.24097769590647369</v>
      </c>
      <c r="C19" s="2">
        <v>4.3325771361255239</v>
      </c>
    </row>
    <row r="20" spans="1:3">
      <c r="A20" s="2">
        <v>1988</v>
      </c>
      <c r="B20" s="2">
        <v>0.24474578636583857</v>
      </c>
      <c r="C20" s="2">
        <v>4.1509753750165936</v>
      </c>
    </row>
    <row r="21" spans="1:3">
      <c r="A21" s="2">
        <v>1989</v>
      </c>
      <c r="B21" s="2">
        <v>0.23677652351402956</v>
      </c>
      <c r="C21" s="2">
        <v>4.5444337930675704</v>
      </c>
    </row>
    <row r="22" spans="1:3">
      <c r="A22" s="2">
        <v>1990</v>
      </c>
      <c r="B22" s="2">
        <v>0.23588528082750462</v>
      </c>
      <c r="C22" s="2">
        <v>4.5906925713175699</v>
      </c>
    </row>
    <row r="23" spans="1:3">
      <c r="A23" s="2">
        <v>1991</v>
      </c>
      <c r="B23" s="2">
        <v>0.23953789853010576</v>
      </c>
      <c r="C23" s="2">
        <v>4.4040469534050182</v>
      </c>
    </row>
    <row r="24" spans="1:3">
      <c r="A24" s="2">
        <v>1992</v>
      </c>
      <c r="B24" s="2">
        <v>0.24588347401066393</v>
      </c>
      <c r="C24" s="2">
        <v>4.0976558572146811</v>
      </c>
    </row>
    <row r="25" spans="1:3">
      <c r="A25" s="2">
        <v>1993</v>
      </c>
      <c r="B25" s="2">
        <v>0.2367551080870085</v>
      </c>
      <c r="C25" s="2">
        <v>4.545539847989005</v>
      </c>
    </row>
    <row r="26" spans="1:3">
      <c r="A26" s="2">
        <v>1994</v>
      </c>
      <c r="B26" s="2">
        <v>0.24248050447311276</v>
      </c>
      <c r="C26" s="2">
        <v>4.2592163009404391</v>
      </c>
    </row>
    <row r="27" spans="1:3">
      <c r="A27" s="2">
        <v>1995</v>
      </c>
      <c r="B27" s="2">
        <v>0.23462508184083297</v>
      </c>
      <c r="C27" s="2">
        <v>4.6569062961304333</v>
      </c>
    </row>
    <row r="28" spans="1:3">
      <c r="A28" s="2">
        <v>1996</v>
      </c>
      <c r="B28" s="2">
        <v>0.23342770647558839</v>
      </c>
      <c r="C28" s="2">
        <v>4.7207037164817045</v>
      </c>
    </row>
    <row r="29" spans="1:3">
      <c r="A29" s="2">
        <v>1997</v>
      </c>
      <c r="B29" s="2">
        <v>0.22482090509645372</v>
      </c>
      <c r="C29" s="2">
        <v>5.2057430148256776</v>
      </c>
    </row>
    <row r="30" spans="1:3">
      <c r="A30" s="2">
        <v>1998</v>
      </c>
      <c r="B30" s="2">
        <v>0.23530684430920643</v>
      </c>
      <c r="C30" s="2">
        <v>4.6209672374697002</v>
      </c>
    </row>
    <row r="31" spans="1:3">
      <c r="A31" s="2">
        <v>1999</v>
      </c>
      <c r="B31" s="2">
        <v>0.22779727333701213</v>
      </c>
      <c r="C31" s="2">
        <v>5.0326167411823155</v>
      </c>
    </row>
    <row r="32" spans="1:3">
      <c r="A32" s="2">
        <v>2000</v>
      </c>
      <c r="B32" s="2">
        <v>0.22822457859783005</v>
      </c>
      <c r="C32" s="2">
        <v>5.0082388888888865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0"/>
  <sheetViews>
    <sheetView workbookViewId="0">
      <selection activeCell="H3" sqref="H3"/>
    </sheetView>
  </sheetViews>
  <sheetFormatPr defaultColWidth="9.109375" defaultRowHeight="13.2"/>
  <cols>
    <col min="1" max="1" width="9.109375" style="3"/>
    <col min="2" max="2" width="15.44140625" style="3" bestFit="1" customWidth="1"/>
    <col min="3" max="3" width="14.44140625" style="3" bestFit="1" customWidth="1"/>
    <col min="4" max="4" width="22.77734375" style="3" customWidth="1"/>
    <col min="5" max="5" width="13.33203125" style="3" bestFit="1" customWidth="1"/>
    <col min="6" max="6" width="13.77734375" style="3" customWidth="1"/>
    <col min="7" max="7" width="9.109375" style="3"/>
    <col min="8" max="8" width="7" style="3" bestFit="1" customWidth="1"/>
    <col min="9" max="16384" width="9.109375" style="3"/>
  </cols>
  <sheetData>
    <row r="2" spans="2:8" s="4" customFormat="1" ht="39.6">
      <c r="B2" s="4" t="s">
        <v>3</v>
      </c>
      <c r="C2" s="4" t="s">
        <v>2</v>
      </c>
      <c r="D2" s="5" t="s">
        <v>5</v>
      </c>
      <c r="E2" s="5" t="s">
        <v>4</v>
      </c>
      <c r="F2" s="5" t="s">
        <v>40</v>
      </c>
      <c r="H2" s="10" t="s">
        <v>42</v>
      </c>
    </row>
    <row r="3" spans="2:8" ht="18">
      <c r="B3" s="3" t="s">
        <v>1</v>
      </c>
      <c r="C3" s="3">
        <v>30</v>
      </c>
      <c r="D3" s="6">
        <v>4.7312706289999999</v>
      </c>
      <c r="E3" s="6">
        <v>5.4009938999999996</v>
      </c>
      <c r="F3" s="6">
        <f>D3*$H$3</f>
        <v>2.8671500011740001</v>
      </c>
      <c r="H3" s="11">
        <v>0.60599999999999998</v>
      </c>
    </row>
    <row r="4" spans="2:8">
      <c r="B4" s="3" t="s">
        <v>6</v>
      </c>
      <c r="C4" s="3">
        <v>50</v>
      </c>
      <c r="D4" s="6">
        <v>41.509355990000003</v>
      </c>
      <c r="E4" s="6">
        <v>0.63180150000000002</v>
      </c>
      <c r="F4" s="6">
        <f t="shared" ref="F4:F6" si="0">D4*$H$3</f>
        <v>25.15466972994</v>
      </c>
    </row>
    <row r="5" spans="2:8">
      <c r="B5" s="3" t="s">
        <v>7</v>
      </c>
      <c r="C5" s="3">
        <v>80</v>
      </c>
      <c r="D5" s="6">
        <v>117.7013875</v>
      </c>
      <c r="E5" s="6">
        <v>0.74645729999999999</v>
      </c>
      <c r="F5" s="6">
        <f t="shared" si="0"/>
        <v>71.327040824999997</v>
      </c>
    </row>
    <row r="6" spans="2:8">
      <c r="B6" s="3" t="s">
        <v>8</v>
      </c>
      <c r="C6" s="3">
        <v>100</v>
      </c>
      <c r="D6" s="6">
        <v>270.24320299999999</v>
      </c>
      <c r="E6" s="6">
        <v>1.542484</v>
      </c>
      <c r="F6" s="6">
        <f t="shared" si="0"/>
        <v>163.76738101799998</v>
      </c>
    </row>
    <row r="20" spans="1:1" ht="20.399999999999999">
      <c r="A20" s="9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8552-9B2C-4A96-B3C5-3929B4079C96}">
  <dimension ref="B2:J6"/>
  <sheetViews>
    <sheetView workbookViewId="0">
      <selection activeCell="B2" sqref="B2:J6"/>
    </sheetView>
  </sheetViews>
  <sheetFormatPr defaultColWidth="11" defaultRowHeight="14.4"/>
  <sheetData>
    <row r="2" spans="2:10" ht="39.6">
      <c r="B2" s="1" t="s">
        <v>0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2:10" ht="26.4">
      <c r="B3" s="1" t="s">
        <v>1</v>
      </c>
      <c r="C3" s="7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>
        <v>30</v>
      </c>
      <c r="I3" s="7">
        <v>3</v>
      </c>
      <c r="J3" s="7" t="s">
        <v>22</v>
      </c>
    </row>
    <row r="4" spans="2:10">
      <c r="B4" s="1" t="s">
        <v>6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2">
        <v>50</v>
      </c>
      <c r="I4" s="7">
        <v>3</v>
      </c>
      <c r="J4" s="7" t="s">
        <v>28</v>
      </c>
    </row>
    <row r="5" spans="2:10">
      <c r="B5" s="1" t="s">
        <v>7</v>
      </c>
      <c r="C5" s="8" t="s">
        <v>29</v>
      </c>
      <c r="D5" s="8" t="s">
        <v>30</v>
      </c>
      <c r="E5" s="8" t="s">
        <v>25</v>
      </c>
      <c r="F5" s="8" t="s">
        <v>31</v>
      </c>
      <c r="G5" s="8" t="s">
        <v>32</v>
      </c>
      <c r="H5" s="7">
        <v>80</v>
      </c>
      <c r="I5" s="7">
        <v>3</v>
      </c>
      <c r="J5" s="8" t="s">
        <v>33</v>
      </c>
    </row>
    <row r="6" spans="2:10">
      <c r="B6" s="1" t="s">
        <v>8</v>
      </c>
      <c r="C6" s="8" t="s">
        <v>34</v>
      </c>
      <c r="D6" s="8" t="s">
        <v>35</v>
      </c>
      <c r="E6" s="8" t="s">
        <v>36</v>
      </c>
      <c r="F6" s="8" t="s">
        <v>37</v>
      </c>
      <c r="G6" s="8" t="s">
        <v>38</v>
      </c>
      <c r="H6" s="7">
        <v>100</v>
      </c>
      <c r="I6" s="7">
        <v>3</v>
      </c>
      <c r="J6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Sheet01</vt:lpstr>
      <vt:lpstr>Sheet02</vt:lpstr>
      <vt:lpstr>Sheet03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guest2</dc:creator>
  <cp:lastModifiedBy>Muhammad Abid</cp:lastModifiedBy>
  <dcterms:created xsi:type="dcterms:W3CDTF">2015-06-05T18:17:20Z</dcterms:created>
  <dcterms:modified xsi:type="dcterms:W3CDTF">2026-09-27T10:25:55Z</dcterms:modified>
</cp:coreProperties>
</file>