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-NARO_Pakistan_Paper\1-Pakistan-DEM\2-Work-for-reanalysis\PDF-Score-Calculation\"/>
    </mc:Choice>
  </mc:AlternateContent>
  <xr:revisionPtr revIDLastSave="0" documentId="13_ncr:1_{ABC92A73-D016-4753-9563-85F0665774C3}" xr6:coauthVersionLast="47" xr6:coauthVersionMax="47" xr10:uidLastSave="{00000000-0000-0000-0000-000000000000}"/>
  <bookViews>
    <workbookView xWindow="-24120" yWindow="1335" windowWidth="24240" windowHeight="13020" xr2:uid="{234CC319-E08C-405F-A50B-EF17D12F2053}"/>
  </bookViews>
  <sheets>
    <sheet name="final_results0" sheetId="1" r:id="rId1"/>
    <sheet name="MULTI-METRIC RANKING" sheetId="2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<sst xmlns="http://schemas.openxmlformats.org/spreadsheetml/2006/main" count="120" uniqueCount="37">
  <si>
    <t>Datasets</t>
  </si>
  <si>
    <t>Std_Dev_Model</t>
  </si>
  <si>
    <t>MAE</t>
  </si>
  <si>
    <t>RMSE</t>
  </si>
  <si>
    <t>MBE</t>
  </si>
  <si>
    <t>MAPE</t>
  </si>
  <si>
    <t>R_Squared</t>
  </si>
  <si>
    <t>Correlation_Coefficient</t>
  </si>
  <si>
    <t>NSE</t>
  </si>
  <si>
    <t>Willmott_d</t>
  </si>
  <si>
    <t>Fractional_Bias</t>
  </si>
  <si>
    <t>Relative_Error</t>
  </si>
  <si>
    <t>Climatological_Mean_Model</t>
  </si>
  <si>
    <t>ERA5</t>
  </si>
  <si>
    <t>JRA55</t>
  </si>
  <si>
    <t>NCAR</t>
  </si>
  <si>
    <t>ENSEMBLE</t>
  </si>
  <si>
    <t>PMD</t>
  </si>
  <si>
    <t>R Squared</t>
  </si>
  <si>
    <t xml:space="preserve">Willmott’s Index of Agreement </t>
  </si>
  <si>
    <t>Correlation Coefficient</t>
  </si>
  <si>
    <t>Fractional Bias</t>
  </si>
  <si>
    <t>CM</t>
  </si>
  <si>
    <t>R</t>
  </si>
  <si>
    <t>RE</t>
  </si>
  <si>
    <t>FB</t>
  </si>
  <si>
    <t>PDF_SS</t>
  </si>
  <si>
    <t>Standard Deviation</t>
  </si>
  <si>
    <t>Climatological Mean (m/s)</t>
  </si>
  <si>
    <t xml:space="preserve">Relative Error </t>
  </si>
  <si>
    <t>RMSE (m/s)</t>
  </si>
  <si>
    <t>MBE (m/s)</t>
  </si>
  <si>
    <t>PDF Skill Score</t>
  </si>
  <si>
    <t>MULTI-METRIC RANKING</t>
  </si>
  <si>
    <t> Model</t>
  </si>
  <si>
    <t>Composite_score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</si>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</sst>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Menlo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33" borderId="0" xfId="0" applyFont="1" applyFill="1" applyAlignment="1">
      <alignment horizontal="center" vertical="center"/>
    </xf>
    <xf numFmtId="0" fontId="0" fillId="34" borderId="0" xfId="0" applyFill="1"/>
    <xf numFmtId="0" fontId="16" fillId="34" borderId="0" xfId="0" applyFont="1" applyFill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nlo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Menlo"/>
        <family val="2"/>
        <scheme val="none"/>
      </font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final_results0!$K$25</c:f>
              <c:strCache>
                <c:ptCount val="1"/>
                <c:pt idx="0">
                  <c:v>Standard Deviation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final_results0!$J$26:$J$30</c:f>
              <c:strCache>
                <c:ptCount val="5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  <c:pt idx="4">
                  <c:v>PMD</c:v>
                </c:pt>
              </c:strCache>
            </c:strRef>
          </c:cat>
          <c:val>
            <c:numRef>
              <c:f>final_results0!$K$26:$K$30</c:f>
              <c:numCache>
                <c:formatCode>0.00</c:formatCode>
                <c:ptCount val="5"/>
                <c:pt idx="0">
                  <c:v>8.7602495000000002E-2</c:v>
                </c:pt>
                <c:pt idx="1">
                  <c:v>0.26265622700000002</c:v>
                </c:pt>
                <c:pt idx="2">
                  <c:v>0.134681994</c:v>
                </c:pt>
                <c:pt idx="3">
                  <c:v>0.13296719800000001</c:v>
                </c:pt>
                <c:pt idx="4">
                  <c:v>0.26963245800000002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6-449B-AECD-E04157BD0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0242288"/>
        <c:axId val="130237488"/>
      </c:barChart>
      <c:catAx>
        <c:axId val="1302422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237488"/>
        <c:crosses val="autoZero"/>
        <c:auto val="1"/>
        <c:lblAlgn val="ctr"/>
        <c:lblOffset val="100"/>
        <c:noMultiLvlLbl val="0"/>
      </c:catAx>
      <c:valAx>
        <c:axId val="13023748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Standard Deviation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024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final_results0!$K$19</c:f>
              <c:strCache>
                <c:ptCount val="1"/>
                <c:pt idx="0">
                  <c:v>Climatological Mean (m/s)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cat>
            <c:strRef>
              <c:f>final_results0!$J$20:$J$24</c:f>
              <c:strCache>
                <c:ptCount val="5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  <c:pt idx="4">
                  <c:v>PMD</c:v>
                </c:pt>
              </c:strCache>
            </c:strRef>
          </c:cat>
          <c:val>
            <c:numRef>
              <c:f>final_results0!$K$20:$K$24</c:f>
              <c:numCache>
                <c:formatCode>0.00</c:formatCode>
                <c:ptCount val="5"/>
                <c:pt idx="0">
                  <c:v>2.418623331</c:v>
                </c:pt>
                <c:pt idx="1">
                  <c:v>3.8282567639999998</c:v>
                </c:pt>
                <c:pt idx="2">
                  <c:v>5.4517200859999999</c:v>
                </c:pt>
                <c:pt idx="3">
                  <c:v>3.7233693240000001</c:v>
                </c:pt>
                <c:pt idx="4">
                  <c:v>4.4575141440000001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2D-46E9-99BA-97A67D5F4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1072096"/>
        <c:axId val="1371071616"/>
      </c:barChart>
      <c:catAx>
        <c:axId val="137107209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71616"/>
        <c:crosses val="autoZero"/>
        <c:auto val="1"/>
        <c:lblAlgn val="ctr"/>
        <c:lblOffset val="100"/>
        <c:noMultiLvlLbl val="0"/>
      </c:catAx>
      <c:valAx>
        <c:axId val="13710716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Climatological Mean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7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final_results0!$K$12</c:f>
              <c:strCache>
                <c:ptCount val="1"/>
                <c:pt idx="0">
                  <c:v>Relative Error 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final_results0!$J$13:$J$16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final_results0!$K$13:$K$16</c:f>
              <c:numCache>
                <c:formatCode>0.00</c:formatCode>
                <c:ptCount val="4"/>
                <c:pt idx="0">
                  <c:v>0.45622837900000002</c:v>
                </c:pt>
                <c:pt idx="1">
                  <c:v>0.140177985</c:v>
                </c:pt>
                <c:pt idx="2">
                  <c:v>0.22674825500000001</c:v>
                </c:pt>
                <c:pt idx="3">
                  <c:v>0.16284511199999999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48-4468-8076-E2753EB75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1084096"/>
        <c:axId val="1371073536"/>
      </c:barChart>
      <c:catAx>
        <c:axId val="137108409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73536"/>
        <c:crosses val="autoZero"/>
        <c:auto val="1"/>
        <c:lblAlgn val="ctr"/>
        <c:lblOffset val="100"/>
        <c:noMultiLvlLbl val="0"/>
      </c:catAx>
      <c:valAx>
        <c:axId val="13710735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Relative Error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final_results0!$E$12</c:f>
              <c:strCache>
                <c:ptCount val="1"/>
                <c:pt idx="0">
                  <c:v>MAPE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final_results0!$D$13:$D$16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final_results0!$E$13:$E$16</c:f>
              <c:numCache>
                <c:formatCode>0.00</c:formatCode>
                <c:ptCount val="4"/>
                <c:pt idx="0">
                  <c:v>45.62283789</c:v>
                </c:pt>
                <c:pt idx="1">
                  <c:v>14.017798490000001</c:v>
                </c:pt>
                <c:pt idx="2">
                  <c:v>22.674825510000002</c:v>
                </c:pt>
                <c:pt idx="3">
                  <c:v>16.28451123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FC-4A13-B647-5222F13AE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371080256"/>
        <c:axId val="1371081696"/>
      </c:barChart>
      <c:catAx>
        <c:axId val="1371080256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81696"/>
        <c:crosses val="autoZero"/>
        <c:auto val="1"/>
        <c:lblAlgn val="ctr"/>
        <c:lblOffset val="100"/>
        <c:noMultiLvlLbl val="0"/>
      </c:catAx>
      <c:valAx>
        <c:axId val="13710816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MAPE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solidFill>
            <a:schemeClr val="bg1"/>
          </a:solidFill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71080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final_results0!$B$19</c:f>
              <c:strCache>
                <c:ptCount val="1"/>
                <c:pt idx="0">
                  <c:v>RMSE (m/s)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final_results0!$A$20:$A$23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final_results0!$B$20:$B$23</c:f>
              <c:numCache>
                <c:formatCode>0.00</c:formatCode>
                <c:ptCount val="4"/>
                <c:pt idx="0">
                  <c:v>2.0514003220000001</c:v>
                </c:pt>
                <c:pt idx="1">
                  <c:v>0.67540122199999997</c:v>
                </c:pt>
                <c:pt idx="2">
                  <c:v>1.029691109</c:v>
                </c:pt>
                <c:pt idx="3">
                  <c:v>0.76658712500000004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D7-4F52-97CD-27845DAC7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95465392"/>
        <c:axId val="1295454352"/>
      </c:barChart>
      <c:catAx>
        <c:axId val="129546539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54352"/>
        <c:crosses val="autoZero"/>
        <c:auto val="1"/>
        <c:lblAlgn val="ctr"/>
        <c:lblOffset val="100"/>
        <c:noMultiLvlLbl val="0"/>
      </c:catAx>
      <c:valAx>
        <c:axId val="12954543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RMSE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6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final_results0!$B$25</c:f>
              <c:strCache>
                <c:ptCount val="1"/>
                <c:pt idx="0">
                  <c:v>MBE (m/s)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final_results0!$A$26:$A$29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final_results0!$B$26:$B$29</c:f>
              <c:numCache>
                <c:formatCode>0.00</c:formatCode>
                <c:ptCount val="4"/>
                <c:pt idx="0">
                  <c:v>-2.038890812</c:v>
                </c:pt>
                <c:pt idx="1">
                  <c:v>-0.62925737999999998</c:v>
                </c:pt>
                <c:pt idx="2">
                  <c:v>0.99420594200000001</c:v>
                </c:pt>
                <c:pt idx="3">
                  <c:v>-0.73414482000000003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55-4A6D-A9DC-B67E31BCB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95457232"/>
        <c:axId val="1295455312"/>
      </c:barChart>
      <c:catAx>
        <c:axId val="129545723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55312"/>
        <c:crosses val="autoZero"/>
        <c:auto val="1"/>
        <c:lblAlgn val="ctr"/>
        <c:lblOffset val="100"/>
        <c:noMultiLvlLbl val="0"/>
      </c:catAx>
      <c:valAx>
        <c:axId val="1295455312"/>
        <c:scaling>
          <c:orientation val="minMax"/>
          <c:max val="1.2"/>
          <c:min val="-2.0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MBE (m/s)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57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final_results0!$H$25</c:f>
              <c:strCache>
                <c:ptCount val="1"/>
                <c:pt idx="0">
                  <c:v>Fractional Bias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final_results0!$G$26:$G$29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final_results0!$H$26:$H$29</c:f>
              <c:numCache>
                <c:formatCode>0.00</c:formatCode>
                <c:ptCount val="4"/>
                <c:pt idx="0">
                  <c:v>-0.593033755</c:v>
                </c:pt>
                <c:pt idx="1">
                  <c:v>-0.151888674</c:v>
                </c:pt>
                <c:pt idx="2">
                  <c:v>0.20066251700000001</c:v>
                </c:pt>
                <c:pt idx="3">
                  <c:v>-0.17947812699999999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F1-4D36-BECF-7D86760D9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295468752"/>
        <c:axId val="1295459152"/>
      </c:barChart>
      <c:catAx>
        <c:axId val="129546875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59152"/>
        <c:crosses val="autoZero"/>
        <c:auto val="1"/>
        <c:lblAlgn val="ctr"/>
        <c:lblOffset val="100"/>
        <c:noMultiLvlLbl val="0"/>
      </c:catAx>
      <c:valAx>
        <c:axId val="1295459152"/>
        <c:scaling>
          <c:orientation val="minMax"/>
          <c:max val="0.23"/>
          <c:min val="-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Fractional Bias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29546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final_results0!$H$19</c:f>
              <c:strCache>
                <c:ptCount val="1"/>
                <c:pt idx="0">
                  <c:v>Willmott’s Index of Agreement 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final_results0!$G$20:$G$23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final_results0!$H$20:$H$23</c:f>
              <c:numCache>
                <c:formatCode>0.00</c:formatCode>
                <c:ptCount val="4"/>
                <c:pt idx="0">
                  <c:v>0.167482612</c:v>
                </c:pt>
                <c:pt idx="1">
                  <c:v>0.414167224</c:v>
                </c:pt>
                <c:pt idx="2">
                  <c:v>0.28064524200000002</c:v>
                </c:pt>
                <c:pt idx="3">
                  <c:v>0.36117377499999997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4-4940-AFB0-DEF2EB162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8325168"/>
        <c:axId val="1808325648"/>
      </c:barChart>
      <c:catAx>
        <c:axId val="180832516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8325648"/>
        <c:crosses val="autoZero"/>
        <c:auto val="1"/>
        <c:lblAlgn val="ctr"/>
        <c:lblOffset val="100"/>
        <c:noMultiLvlLbl val="0"/>
      </c:catAx>
      <c:valAx>
        <c:axId val="1808325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Willmott’s Index of Agreement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0832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final_results0!$E$25</c:f>
              <c:strCache>
                <c:ptCount val="1"/>
                <c:pt idx="0">
                  <c:v>Correlation Coefficient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final_results0!$D$26:$D$29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final_results0!$E$26:$E$29</c:f>
              <c:numCache>
                <c:formatCode>0.00</c:formatCode>
                <c:ptCount val="4"/>
                <c:pt idx="0">
                  <c:v>0.58218001699999999</c:v>
                </c:pt>
                <c:pt idx="1">
                  <c:v>0.56114473600000003</c:v>
                </c:pt>
                <c:pt idx="2">
                  <c:v>0.22895221900000001</c:v>
                </c:pt>
                <c:pt idx="3">
                  <c:v>0.55884641199999996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47-47D2-B28D-5B43F219C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9995872"/>
        <c:axId val="199985792"/>
      </c:barChart>
      <c:catAx>
        <c:axId val="19999587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85792"/>
        <c:crosses val="autoZero"/>
        <c:auto val="1"/>
        <c:lblAlgn val="ctr"/>
        <c:lblOffset val="100"/>
        <c:noMultiLvlLbl val="0"/>
      </c:catAx>
      <c:valAx>
        <c:axId val="199985792"/>
        <c:scaling>
          <c:orientation val="minMax"/>
          <c:max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8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Correlation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8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 algn="ctr">
        <a:defRPr lang="en-US" sz="800" b="1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final_results0!$B$31</c:f>
              <c:strCache>
                <c:ptCount val="1"/>
                <c:pt idx="0">
                  <c:v>PDF Skill Score</c:v>
                </c:pt>
              </c:strCache>
            </c:strRef>
          </c:tx>
          <c:spPr>
            <a:gradFill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final_results0!$A$32:$A$35</c:f>
              <c:strCache>
                <c:ptCount val="4"/>
                <c:pt idx="0">
                  <c:v>ERA5</c:v>
                </c:pt>
                <c:pt idx="1">
                  <c:v>JRA55</c:v>
                </c:pt>
                <c:pt idx="2">
                  <c:v>NCAR</c:v>
                </c:pt>
                <c:pt idx="3">
                  <c:v>ENSEMBLE</c:v>
                </c:pt>
              </c:strCache>
            </c:strRef>
          </c:cat>
          <c:val>
            <c:numRef>
              <c:f>final_results0!$B$32:$B$35</c:f>
              <c:numCache>
                <c:formatCode>0.00</c:formatCode>
                <c:ptCount val="4"/>
                <c:pt idx="0">
                  <c:v>0.02</c:v>
                </c:pt>
                <c:pt idx="1">
                  <c:v>0.76182931700000001</c:v>
                </c:pt>
                <c:pt idx="2">
                  <c:v>0.25394310599999997</c:v>
                </c:pt>
                <c:pt idx="3">
                  <c:v>0.33859080800000002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8-43EE-98FD-80668D569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99991072"/>
        <c:axId val="200000192"/>
      </c:barChart>
      <c:catAx>
        <c:axId val="199991072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0000192"/>
        <c:crosses val="autoZero"/>
        <c:auto val="1"/>
        <c:lblAlgn val="ctr"/>
        <c:lblOffset val="100"/>
        <c:noMultiLvlLbl val="0"/>
      </c:catAx>
      <c:valAx>
        <c:axId val="200000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PDF Skill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8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15875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999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0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000"/>
              <a:t>Multi-metric reanalysis ranking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0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'MULTI-METRIC RANKING'!$C$4</c:f>
              <c:strCache>
                <c:ptCount val="1"/>
                <c:pt idx="0">
                  <c:v>Composite_score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rgbClr val="00B050"/>
                </a:gs>
              </a:gsLst>
              <a:path path="circle">
                <a:fillToRect l="100000" t="100000"/>
              </a:path>
              <a:tileRect r="-100000" b="-100000"/>
            </a:gradFill>
            <a:ln>
              <a:noFill/>
            </a:ln>
            <a:effectLst/>
          </c:spPr>
          <c:invertIfNegative val="0"/>
          <c:cat>
            <c:strRef>
              <c:f>'MULTI-METRIC RANKING'!$B$5:$B$8</c:f>
              <c:strCache>
                <c:ptCount val="4"/>
                <c:pt idx="0">
                  <c:v>JRA55</c:v>
                </c:pt>
                <c:pt idx="1">
                  <c:v>ENSEMBLE</c:v>
                </c:pt>
                <c:pt idx="2">
                  <c:v>NCAR</c:v>
                </c:pt>
                <c:pt idx="3">
                  <c:v>ERA5</c:v>
                </c:pt>
              </c:strCache>
            </c:strRef>
          </c:cat>
          <c:val>
            <c:numRef>
              <c:f>'MULTI-METRIC RANKING'!$C$5:$C$8</c:f>
              <c:numCache>
                <c:formatCode>General</c:formatCode>
                <c:ptCount val="4"/>
                <c:pt idx="0">
                  <c:v>0.86143000000000003</c:v>
                </c:pt>
                <c:pt idx="1">
                  <c:v>0.79535999999999996</c:v>
                </c:pt>
                <c:pt idx="2">
                  <c:v>0.56361000000000006</c:v>
                </c:pt>
                <c:pt idx="3">
                  <c:v>0.27272999999999997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E8-764F-9A71-C7E2204DE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0366976"/>
        <c:axId val="1818703424"/>
      </c:barChart>
      <c:catAx>
        <c:axId val="1820366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Reanalysis 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18703424"/>
        <c:crosses val="autoZero"/>
        <c:auto val="1"/>
        <c:lblAlgn val="ctr"/>
        <c:lblOffset val="100"/>
        <c:noMultiLvlLbl val="0"/>
      </c:catAx>
      <c:valAx>
        <c:axId val="18187034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sz="9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Equal-weight composite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sz="9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203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 sz="900" b="1"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161925</xdr:colOff>
      <xdr:row>1</xdr:row>
      <xdr:rowOff>4762</xdr:rowOff>
    </xdr:from>
    <xdr:ext cx="11233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586F4D4-CA25-9D48-AAE4-7DE515234AC1}"/>
                </a:ext>
              </a:extLst>
            </xdr:cNvPr>
            <xdr:cNvSpPr txBox="1"/>
          </xdr:nvSpPr>
          <xdr:spPr>
            <a:xfrm>
              <a:off x="15135225" y="195262"/>
              <a:ext cx="1123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586F4D4-CA25-9D48-AAE4-7DE515234AC1}"/>
                </a:ext>
              </a:extLst>
            </xdr:cNvPr>
            <xdr:cNvSpPr txBox="1"/>
          </xdr:nvSpPr>
          <xdr:spPr>
            <a:xfrm>
              <a:off x="15135225" y="195262"/>
              <a:ext cx="11233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endParaRPr lang="en-US" sz="1100"/>
            </a:p>
          </xdr:txBody>
        </xdr:sp>
      </mc:Fallback>
    </mc:AlternateContent>
    <xdr:clientData/>
  </xdr:oneCellAnchor>
  <xdr:twoCellAnchor>
    <xdr:from>
      <xdr:col>12</xdr:col>
      <xdr:colOff>180974</xdr:colOff>
      <xdr:row>9</xdr:row>
      <xdr:rowOff>119063</xdr:rowOff>
    </xdr:from>
    <xdr:to>
      <xdr:col>14</xdr:col>
      <xdr:colOff>628650</xdr:colOff>
      <xdr:row>21</xdr:row>
      <xdr:rowOff>171451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2D23D5-56EA-73DB-D998-9A8A1C4C9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547687</xdr:colOff>
      <xdr:row>9</xdr:row>
      <xdr:rowOff>128587</xdr:rowOff>
    </xdr:from>
    <xdr:to>
      <xdr:col>18</xdr:col>
      <xdr:colOff>582739</xdr:colOff>
      <xdr:row>21</xdr:row>
      <xdr:rowOff>183451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06B42A-F339-BBF6-42DC-93A5964E3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185737</xdr:colOff>
      <xdr:row>21</xdr:row>
      <xdr:rowOff>128587</xdr:rowOff>
    </xdr:from>
    <xdr:to>
      <xdr:col>14</xdr:col>
      <xdr:colOff>630364</xdr:colOff>
      <xdr:row>33</xdr:row>
      <xdr:rowOff>183451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615596-F5F0-F7B3-855A-833279682A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547687</xdr:colOff>
      <xdr:row>21</xdr:row>
      <xdr:rowOff>128587</xdr:rowOff>
    </xdr:from>
    <xdr:to>
      <xdr:col>18</xdr:col>
      <xdr:colOff>582739</xdr:colOff>
      <xdr:row>33</xdr:row>
      <xdr:rowOff>183451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B366A9-42BF-AE32-3421-F372F573E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185737</xdr:colOff>
      <xdr:row>33</xdr:row>
      <xdr:rowOff>109537</xdr:rowOff>
    </xdr:from>
    <xdr:to>
      <xdr:col>14</xdr:col>
      <xdr:colOff>630364</xdr:colOff>
      <xdr:row>45</xdr:row>
      <xdr:rowOff>164401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41DF6BC-BBB0-F245-3626-99745DE40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547687</xdr:colOff>
      <xdr:row>33</xdr:row>
      <xdr:rowOff>109537</xdr:rowOff>
    </xdr:from>
    <xdr:to>
      <xdr:col>18</xdr:col>
      <xdr:colOff>582739</xdr:colOff>
      <xdr:row>45</xdr:row>
      <xdr:rowOff>164401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E0EE2F-1F96-F7FA-C4E3-8763ECAAC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252412</xdr:colOff>
      <xdr:row>49</xdr:row>
      <xdr:rowOff>23812</xdr:rowOff>
    </xdr:from>
    <xdr:to>
      <xdr:col>15</xdr:col>
      <xdr:colOff>1714</xdr:colOff>
      <xdr:row>61</xdr:row>
      <xdr:rowOff>78676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E37759-7794-5B72-F213-0DE3107E61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252412</xdr:colOff>
      <xdr:row>61</xdr:row>
      <xdr:rowOff>14287</xdr:rowOff>
    </xdr:from>
    <xdr:to>
      <xdr:col>15</xdr:col>
      <xdr:colOff>1714</xdr:colOff>
      <xdr:row>73</xdr:row>
      <xdr:rowOff>69151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E9A4102-2945-9AEF-B675-5F8758C29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642937</xdr:colOff>
      <xdr:row>49</xdr:row>
      <xdr:rowOff>23812</xdr:rowOff>
    </xdr:from>
    <xdr:to>
      <xdr:col>18</xdr:col>
      <xdr:colOff>677989</xdr:colOff>
      <xdr:row>61</xdr:row>
      <xdr:rowOff>78676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C0D23F-F737-F0C2-4A1F-C1B493BF0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642937</xdr:colOff>
      <xdr:row>61</xdr:row>
      <xdr:rowOff>14287</xdr:rowOff>
    </xdr:from>
    <xdr:to>
      <xdr:col>18</xdr:col>
      <xdr:colOff>677989</xdr:colOff>
      <xdr:row>73</xdr:row>
      <xdr:rowOff>69151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A8A7A30-2E85-2CFD-8BB1-A2DDDA9D42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0.82883</cdr:x>
      <cdr:y>0</cdr:y>
    </cdr:from>
    <cdr:to>
      <cdr:x>0.9792</cdr:x>
      <cdr:y>0.14039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336800" y="0"/>
          <a:ext cx="423962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(a)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0.84537</cdr:x>
      <cdr:y>0</cdr:y>
    </cdr:from>
    <cdr:to>
      <cdr:x>1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>
          <a:spLocks xmlns:a="http://schemas.openxmlformats.org/drawingml/2006/main" noChangeAspect="1"/>
        </cdr:cNvSpPr>
      </cdr:nvSpPr>
      <cdr:spPr>
        <a:xfrm xmlns:a="http://schemas.openxmlformats.org/drawingml/2006/main">
          <a:off x="2380848" y="0"/>
          <a:ext cx="435504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(b)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0.81958</cdr:x>
      <cdr:y>0</cdr:y>
    </cdr:from>
    <cdr:to>
      <cdr:x>0.96602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08225" y="0"/>
          <a:ext cx="412421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(c)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0.84537</cdr:x>
      <cdr:y>0</cdr:y>
    </cdr:from>
    <cdr:to>
      <cdr:x>1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80848" y="0"/>
          <a:ext cx="435504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(d)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0.82296</cdr:x>
      <cdr:y>0</cdr:y>
    </cdr:from>
    <cdr:to>
      <cdr:x>0.9694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17750" y="0"/>
          <a:ext cx="412421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(e)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0.86162</cdr:x>
      <cdr:y>0</cdr:y>
    </cdr:from>
    <cdr:to>
      <cdr:x>1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426630" y="0"/>
          <a:ext cx="389722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(f)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0.82973</cdr:x>
      <cdr:y>0</cdr:y>
    </cdr:from>
    <cdr:to>
      <cdr:x>0.98026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36800" y="0"/>
          <a:ext cx="423962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(g)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0.83649</cdr:x>
      <cdr:y>0</cdr:y>
    </cdr:from>
    <cdr:to>
      <cdr:x>0.97084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55850" y="0"/>
          <a:ext cx="378373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(i)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0.84537</cdr:x>
      <cdr:y>0</cdr:y>
    </cdr:from>
    <cdr:to>
      <cdr:x>1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380848" y="0"/>
          <a:ext cx="435504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(h)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0.86162</cdr:x>
      <cdr:y>0</cdr:y>
    </cdr:from>
    <cdr:to>
      <cdr:x>1</cdr:x>
      <cdr:y>0.14025</cdr:y>
    </cdr:to>
    <cdr:sp macro="" textlink="">
      <cdr:nvSpPr>
        <cdr:cNvPr id="2" name="TextBox 13">
          <a:extLst xmlns:a="http://schemas.openxmlformats.org/drawingml/2006/main">
            <a:ext uri="{FF2B5EF4-FFF2-40B4-BE49-F238E27FC236}">
              <a16:creationId xmlns:a16="http://schemas.microsoft.com/office/drawing/2014/main" id="{1F34D4E4-89D7-C91F-58BC-FF3E7023A3BB}"/>
            </a:ext>
          </a:extLst>
        </cdr:cNvPr>
        <cdr:cNvSpPr txBox="1"/>
      </cdr:nvSpPr>
      <cdr:spPr>
        <a:xfrm xmlns:a="http://schemas.openxmlformats.org/drawingml/2006/main">
          <a:off x="2426630" y="0"/>
          <a:ext cx="389722" cy="32829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(j)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25400</xdr:colOff>
      <xdr:row>14</xdr:row>
      <xdr:rowOff>38100</xdr:rowOff>
    </xdr:from>
    <xdr:to>
      <xdr:col>8</xdr:col>
      <xdr:colOff>469900</xdr:colOff>
      <xdr:row>28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20BCAD-4FC0-30CA-B8CD-4A379F92C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28275F-F513-4FB4-B575-16BB41C050A5}" name="Table2" displayName="Table2" ref="J19:K24" totalsRowShown="0">
  <autoFilter ref="J19:K24" xr:uid="{C628275F-F513-4FB4-B575-16BB41C050A5}"/>
  <tableColumns count="2">
    <tableColumn id="1" xr3:uid="{FE9880C2-C332-44F9-B5EC-4EBB61D54C53}" name="Datasets" dataDxfId="23"/>
    <tableColumn id="2" xr3:uid="{F7299559-C8A1-474C-A82F-D7595CF574C6}" name="Climatological Mean (m/s)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0AED7C-8FAB-46C7-99D5-A9E1C6683DF9}" name="Table3" displayName="Table3" ref="J25:K30" totalsRowShown="0">
  <autoFilter ref="J25:K30" xr:uid="{6F0AED7C-8FAB-46C7-99D5-A9E1C6683DF9}"/>
  <tableColumns count="2">
    <tableColumn id="1" xr3:uid="{BB4E6085-B67D-4220-9506-65DD0E48A19F}" name="Datasets" dataDxfId="21"/>
    <tableColumn id="2" xr3:uid="{25E91F0C-BEBB-4ABD-8672-DB4F8E3A5234}" name="Standard Deviation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F4ED53-D8F5-41D2-8F43-5C22B5D8841B}" name="Table4" displayName="Table4" ref="J12:K16" totalsRowShown="0">
  <autoFilter ref="J12:K16" xr:uid="{5EF4ED53-D8F5-41D2-8F43-5C22B5D8841B}"/>
  <tableColumns count="2">
    <tableColumn id="1" xr3:uid="{CEDDB80E-BE8B-40F0-9117-663CA62A8E42}" name="Datasets" dataDxfId="19"/>
    <tableColumn id="2" xr3:uid="{B8780A01-578C-418D-92C4-C7F8CF4FEC4B}" name="Relative Error " dataDxfId="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8EDDF4-3F76-40F8-8D12-B8E94FCD1D8D}" name="Table5" displayName="Table5" ref="D12:E16" totalsRowShown="0">
  <autoFilter ref="D12:E16" xr:uid="{E08EDDF4-3F76-40F8-8D12-B8E94FCD1D8D}"/>
  <tableColumns count="2">
    <tableColumn id="1" xr3:uid="{B41C330D-AC06-49DC-822E-03A7E2485E8D}" name="Datasets" dataDxfId="17"/>
    <tableColumn id="2" xr3:uid="{E35396FD-B112-4C53-B086-5A259E134183}" name="MAPE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CE3DC3-B07C-49CE-BABE-0FD38FADCCDC}" name="Table6" displayName="Table6" ref="A19:B23" totalsRowShown="0">
  <autoFilter ref="A19:B23" xr:uid="{99CE3DC3-B07C-49CE-BABE-0FD38FADCCDC}"/>
  <tableColumns count="2">
    <tableColumn id="1" xr3:uid="{FBE0E077-6777-4BD8-A701-303CB4523E31}" name="Datasets" dataDxfId="15"/>
    <tableColumn id="2" xr3:uid="{ACA0E30D-FAC5-4EFD-8A96-BC01F9ACED1C}" name="RMSE (m/s)" dataDxfId="1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BE0B09-42C0-48CB-B546-0263617C4D32}" name="Table7" displayName="Table7" ref="A25:B29" totalsRowShown="0">
  <autoFilter ref="A25:B29" xr:uid="{67BE0B09-42C0-48CB-B546-0263617C4D32}"/>
  <tableColumns count="2">
    <tableColumn id="1" xr3:uid="{47F24892-83F2-48A9-8493-B62BA2EACEFD}" name="Datasets" dataDxfId="13"/>
    <tableColumn id="2" xr3:uid="{8DEA3ABD-4530-4BF1-98BB-D916A5FAFCB2}" name="MBE (m/s)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65B638-76BC-4594-BA64-8B65E13EA99A}" name="Table8" displayName="Table8" ref="G25:H29" totalsRowShown="0">
  <autoFilter ref="G25:H29" xr:uid="{B365B638-76BC-4594-BA64-8B65E13EA99A}"/>
  <tableColumns count="2">
    <tableColumn id="1" xr3:uid="{A0DB0314-DB66-45F8-AA35-68E65EB8CA53}" name="Datasets" dataDxfId="11"/>
    <tableColumn id="2" xr3:uid="{A0698667-3206-4FBF-B6EC-0683278AA4C2}" name="Fractional Bias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0699FB-AE1C-4572-AA7A-E204CC13116A}" name="Table9" displayName="Table9" ref="G19:H23" totalsRowShown="0">
  <autoFilter ref="G19:H23" xr:uid="{1C0699FB-AE1C-4572-AA7A-E204CC13116A}"/>
  <tableColumns count="2">
    <tableColumn id="1" xr3:uid="{C0639DDD-74C6-4413-878D-E959B68ED3F8}" name="Datasets" dataDxfId="9"/>
    <tableColumn id="2" xr3:uid="{B9CBF177-7AEE-40C7-9D6F-F4587A0F80A2}" name="Willmott’s Index of Agreement " dataDxfId="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1B23523-F876-4293-8BDD-78290B5587DB}" name="Table10" displayName="Table10" ref="D25:E29" totalsRowShown="0">
  <autoFilter ref="D25:E29" xr:uid="{F1B23523-F876-4293-8BDD-78290B5587DB}"/>
  <tableColumns count="2">
    <tableColumn id="1" xr3:uid="{BAFB4AD2-C10C-4F53-8FF2-85B4F55CB79D}" name="Datasets" dataDxfId="7"/>
    <tableColumn id="2" xr3:uid="{197D14B8-D162-4E9F-9282-9FC3ECD6C733}" name="Correlation Coefficient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173DE5A-0A03-4F43-A240-81BFC2CA5B32}" name="Table11" displayName="Table11" ref="A31:B35" totalsRowShown="0">
  <autoFilter ref="A31:B35" xr:uid="{C173DE5A-0A03-4F43-A240-81BFC2CA5B32}"/>
  <tableColumns count="2">
    <tableColumn id="1" xr3:uid="{8662116B-49D0-4F75-BCAB-3222F0C55F83}" name="Datasets" dataDxfId="5"/>
    <tableColumn id="2" xr3:uid="{C3909C1E-3C38-406D-88E7-271E61FF7749}" name="PDF Skill Score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B738C1-E6DF-3842-8D57-A0441C2F59D3}" name="Table1" displayName="Table1" ref="B4:D8" totalsRowShown="0" headerRowDxfId="3">
  <autoFilter ref="B4:D8" xr:uid="{73B738C1-E6DF-3842-8D57-A0441C2F59D3}"/>
  <tableColumns count="3">
    <tableColumn id="1" xr3:uid="{CBEB6823-FDBA-D346-9AAD-EF7425ABBFF3}" name=" Model" dataDxfId="2"/>
    <tableColumn id="2" xr3:uid="{004BF6DE-3606-F643-AC4B-6D6AE1CC99A1}" name="Composite_score" dataDxfId="1"/>
    <tableColumn id="3" xr3:uid="{8483DFDD-DC84-8540-83A1-CE7F9CB37DF9}" name="Ra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F22D-0CF6-4F2B-B483-E0262939609A}">
  <dimension ref="A1:X35"/>
  <sheetViews>
    <sheetView tabSelected="1" topLeftCell="D1" workbookViewId="0">
      <selection activeCell="AD16" sqref="AD16"/>
    </sheetView>
  </sheetViews>
  <sheetFormatPr defaultColWidth="9.109375" defaultRowHeight="14.4"/>
  <cols>
    <col min="1" max="1" width="11.109375" style="1" customWidth="1"/>
    <col min="2" max="2" width="14.109375" style="1" bestFit="1" customWidth="1"/>
    <col min="3" max="4" width="12" style="1" bestFit="1" customWidth="1"/>
    <col min="5" max="5" width="24.109375" style="1" customWidth="1"/>
    <col min="6" max="6" width="12" style="1" bestFit="1" customWidth="1"/>
    <col min="7" max="7" width="12.6640625" style="1" bestFit="1" customWidth="1"/>
    <col min="8" max="8" width="31" style="1" customWidth="1"/>
    <col min="9" max="9" width="12.6640625" style="1" bestFit="1" customWidth="1"/>
    <col min="10" max="10" width="12" style="1" bestFit="1" customWidth="1"/>
    <col min="11" max="11" width="21.44140625" style="1" customWidth="1"/>
    <col min="12" max="12" width="13.109375" style="1" bestFit="1" customWidth="1"/>
    <col min="13" max="13" width="26.44140625" style="1" bestFit="1" customWidth="1"/>
    <col min="14" max="14" width="9.109375" style="1"/>
    <col min="15" max="24" width="10.44140625" style="1" customWidth="1"/>
    <col min="25" max="16384" width="9.109375" style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4">
      <c r="A2" s="1" t="s">
        <v>13</v>
      </c>
      <c r="B2" s="1">
        <v>8.7602495000000002E-2</v>
      </c>
      <c r="C2" s="1">
        <v>2.038890812</v>
      </c>
      <c r="D2" s="1">
        <v>2.0514003220000001</v>
      </c>
      <c r="E2" s="1">
        <v>-2.038890812</v>
      </c>
      <c r="F2" s="1">
        <v>45.62283789</v>
      </c>
      <c r="G2" s="1">
        <v>-58.813186129999998</v>
      </c>
      <c r="H2" s="1">
        <v>0.58218001699999999</v>
      </c>
      <c r="I2" s="1">
        <v>-58.813186129999998</v>
      </c>
      <c r="J2" s="1">
        <v>0.167482612</v>
      </c>
      <c r="K2" s="1">
        <v>-0.593033755</v>
      </c>
      <c r="L2" s="1">
        <v>0.45622837900000002</v>
      </c>
      <c r="M2" s="1">
        <v>2.418623331</v>
      </c>
      <c r="O2" s="3" t="s">
        <v>0</v>
      </c>
      <c r="P2" s="3"/>
      <c r="Q2" s="3" t="s">
        <v>22</v>
      </c>
      <c r="R2" s="3" t="s">
        <v>3</v>
      </c>
      <c r="S2" s="3" t="s">
        <v>23</v>
      </c>
      <c r="T2" s="3" t="s">
        <v>4</v>
      </c>
      <c r="U2" s="3" t="s">
        <v>24</v>
      </c>
      <c r="V2" s="3" t="s">
        <v>25</v>
      </c>
      <c r="W2" s="6" t="s">
        <v>26</v>
      </c>
      <c r="X2" s="3" t="s">
        <v>5</v>
      </c>
    </row>
    <row r="3" spans="1:24">
      <c r="A3" s="1" t="s">
        <v>14</v>
      </c>
      <c r="B3" s="1">
        <v>0.26265622700000002</v>
      </c>
      <c r="C3" s="1">
        <v>0.62925737999999998</v>
      </c>
      <c r="D3" s="1">
        <v>0.67540122199999997</v>
      </c>
      <c r="E3" s="1">
        <v>-0.62925737999999998</v>
      </c>
      <c r="F3" s="1">
        <v>14.017798490000001</v>
      </c>
      <c r="G3" s="1">
        <v>-5.4836532760000001</v>
      </c>
      <c r="H3" s="1">
        <v>0.56114473600000003</v>
      </c>
      <c r="I3" s="1">
        <v>-5.4836532760000001</v>
      </c>
      <c r="J3" s="1">
        <v>0.414167224</v>
      </c>
      <c r="K3" s="1">
        <v>-0.151888674</v>
      </c>
      <c r="L3" s="1">
        <v>0.140177985</v>
      </c>
      <c r="M3" s="1">
        <v>3.8282567639999998</v>
      </c>
      <c r="O3" s="3" t="s">
        <v>13</v>
      </c>
      <c r="P3" s="4">
        <v>8.7602495000000002E-2</v>
      </c>
      <c r="Q3" s="4">
        <v>2.418623331</v>
      </c>
      <c r="R3" s="4">
        <v>2.0514003220000001</v>
      </c>
      <c r="S3" s="8">
        <v>0.58218001699999999</v>
      </c>
      <c r="T3" s="4">
        <v>-2.038890812</v>
      </c>
      <c r="U3" s="4">
        <v>0.45622837900000002</v>
      </c>
      <c r="V3" s="4">
        <v>-0.593033755</v>
      </c>
      <c r="W3" s="4">
        <v>0</v>
      </c>
      <c r="X3" s="4">
        <v>45.62283789</v>
      </c>
    </row>
    <row r="4" spans="1:24">
      <c r="A4" s="1" t="s">
        <v>15</v>
      </c>
      <c r="B4" s="1">
        <v>0.134681994</v>
      </c>
      <c r="C4" s="1">
        <v>0.99420594200000001</v>
      </c>
      <c r="D4" s="1">
        <v>1.029691109</v>
      </c>
      <c r="E4" s="1">
        <v>0.99420594200000001</v>
      </c>
      <c r="F4" s="1">
        <v>22.674825510000002</v>
      </c>
      <c r="G4" s="1">
        <v>-14.069887980000001</v>
      </c>
      <c r="H4" s="1">
        <v>0.22895221900000001</v>
      </c>
      <c r="I4" s="1">
        <v>-14.069887980000001</v>
      </c>
      <c r="J4" s="1">
        <v>0.28064524200000002</v>
      </c>
      <c r="K4" s="1">
        <v>0.20066251700000001</v>
      </c>
      <c r="L4" s="1">
        <v>0.22674825500000001</v>
      </c>
      <c r="M4" s="1">
        <v>5.4517200859999999</v>
      </c>
      <c r="O4" s="3" t="s">
        <v>14</v>
      </c>
      <c r="P4" s="8">
        <v>0.26265622700000002</v>
      </c>
      <c r="Q4" s="8">
        <v>3.8282567639999998</v>
      </c>
      <c r="R4" s="8">
        <v>0.67540122199999997</v>
      </c>
      <c r="S4" s="4">
        <v>0.56114473600000003</v>
      </c>
      <c r="T4" s="8">
        <v>-0.62925737999999998</v>
      </c>
      <c r="U4" s="8">
        <v>0.140177985</v>
      </c>
      <c r="V4" s="8">
        <v>-0.151888674</v>
      </c>
      <c r="W4" s="8">
        <v>0.76182931700000001</v>
      </c>
      <c r="X4" s="8">
        <v>14.017798490000001</v>
      </c>
    </row>
    <row r="5" spans="1:24">
      <c r="A5" s="1" t="s">
        <v>16</v>
      </c>
      <c r="B5" s="1">
        <v>0.13296719800000001</v>
      </c>
      <c r="C5" s="1">
        <v>0.73414482000000003</v>
      </c>
      <c r="D5" s="1">
        <v>0.76658712500000004</v>
      </c>
      <c r="E5" s="1">
        <v>-0.73414482000000003</v>
      </c>
      <c r="F5" s="1">
        <v>16.28451123</v>
      </c>
      <c r="G5" s="1">
        <v>-7.3525510819999997</v>
      </c>
      <c r="H5" s="1">
        <v>0.55884641199999996</v>
      </c>
      <c r="I5" s="1">
        <v>-7.3525510819999997</v>
      </c>
      <c r="J5" s="1">
        <v>0.36117377499999997</v>
      </c>
      <c r="K5" s="1">
        <v>-0.17947812699999999</v>
      </c>
      <c r="L5" s="1">
        <v>0.16284511199999999</v>
      </c>
      <c r="M5" s="1">
        <v>3.7233693240000001</v>
      </c>
      <c r="O5" s="3" t="s">
        <v>15</v>
      </c>
      <c r="P5" s="4">
        <v>0.134681994</v>
      </c>
      <c r="Q5" s="4">
        <v>5.4517200859999999</v>
      </c>
      <c r="R5" s="4">
        <v>1.029691109</v>
      </c>
      <c r="S5" s="4">
        <v>0.22895221900000001</v>
      </c>
      <c r="T5" s="4">
        <v>0.99420594200000001</v>
      </c>
      <c r="U5" s="4">
        <v>0.22674825500000001</v>
      </c>
      <c r="V5" s="4">
        <v>0.20066251700000001</v>
      </c>
      <c r="W5" s="4">
        <v>0.25394310599999997</v>
      </c>
      <c r="X5" s="4">
        <v>22.674825510000002</v>
      </c>
    </row>
    <row r="6" spans="1:24">
      <c r="A6" s="1" t="s">
        <v>17</v>
      </c>
      <c r="B6" s="1">
        <v>0.26963245800000002</v>
      </c>
      <c r="M6" s="1">
        <v>4.4575141440000001</v>
      </c>
      <c r="O6" s="3" t="s">
        <v>16</v>
      </c>
      <c r="P6" s="4">
        <v>0.13296719800000001</v>
      </c>
      <c r="Q6" s="4">
        <v>3.7233693240000001</v>
      </c>
      <c r="R6" s="4">
        <v>0.76658712500000004</v>
      </c>
      <c r="S6" s="4">
        <v>0.55884641199999996</v>
      </c>
      <c r="T6" s="4">
        <v>-0.73414482000000003</v>
      </c>
      <c r="U6" s="4">
        <v>0.16284511199999999</v>
      </c>
      <c r="V6" s="4">
        <v>-0.17947812699999999</v>
      </c>
      <c r="W6" s="4">
        <v>0.33859080800000002</v>
      </c>
      <c r="X6" s="4">
        <v>16.28451123</v>
      </c>
    </row>
    <row r="7" spans="1:24">
      <c r="O7" s="3" t="s">
        <v>17</v>
      </c>
      <c r="P7" s="8">
        <v>0.26963245800000002</v>
      </c>
      <c r="Q7" s="8">
        <v>4.4575141440000001</v>
      </c>
    </row>
    <row r="12" spans="1:24">
      <c r="A12" s="2" t="s">
        <v>0</v>
      </c>
      <c r="B12" s="2" t="s">
        <v>2</v>
      </c>
      <c r="D12" s="2" t="s">
        <v>0</v>
      </c>
      <c r="E12" s="3" t="s">
        <v>5</v>
      </c>
      <c r="G12" s="2" t="s">
        <v>0</v>
      </c>
      <c r="H12" s="2" t="s">
        <v>8</v>
      </c>
      <c r="J12" s="2" t="s">
        <v>0</v>
      </c>
      <c r="K12" s="3" t="s">
        <v>29</v>
      </c>
      <c r="T12" s="4"/>
      <c r="U12" s="8"/>
      <c r="V12" s="4"/>
      <c r="W12" s="4"/>
      <c r="X12" s="8"/>
    </row>
    <row r="13" spans="1:24">
      <c r="A13" s="2" t="s">
        <v>13</v>
      </c>
      <c r="B13" s="2">
        <v>2.038890812</v>
      </c>
      <c r="D13" s="1" t="s">
        <v>13</v>
      </c>
      <c r="E13" s="4">
        <v>45.62283789</v>
      </c>
      <c r="G13" s="1" t="s">
        <v>13</v>
      </c>
      <c r="H13" s="4">
        <v>-58.813186129999998</v>
      </c>
      <c r="J13" s="1" t="s">
        <v>13</v>
      </c>
      <c r="K13" s="4">
        <v>0.45622837900000002</v>
      </c>
      <c r="T13" s="4"/>
      <c r="U13" s="8"/>
      <c r="V13" s="4"/>
      <c r="W13" s="4"/>
      <c r="X13" s="8"/>
    </row>
    <row r="14" spans="1:24">
      <c r="A14" s="2" t="s">
        <v>14</v>
      </c>
      <c r="B14" s="2">
        <v>0.62925737999999998</v>
      </c>
      <c r="D14" s="1" t="s">
        <v>14</v>
      </c>
      <c r="E14" s="4">
        <v>14.017798490000001</v>
      </c>
      <c r="G14" s="1" t="s">
        <v>14</v>
      </c>
      <c r="H14" s="4">
        <v>-5.4836532760000001</v>
      </c>
      <c r="J14" s="1" t="s">
        <v>14</v>
      </c>
      <c r="K14" s="4">
        <v>0.140177985</v>
      </c>
      <c r="T14" s="4"/>
      <c r="U14" s="8"/>
      <c r="V14" s="4"/>
      <c r="W14" s="4"/>
    </row>
    <row r="15" spans="1:24">
      <c r="A15" s="2" t="s">
        <v>15</v>
      </c>
      <c r="B15" s="2">
        <v>0.99420594200000001</v>
      </c>
      <c r="D15" s="1" t="s">
        <v>15</v>
      </c>
      <c r="E15" s="4">
        <v>22.674825510000002</v>
      </c>
      <c r="G15" s="1" t="s">
        <v>15</v>
      </c>
      <c r="H15" s="4">
        <v>-14.069887980000001</v>
      </c>
      <c r="J15" s="1" t="s">
        <v>15</v>
      </c>
      <c r="K15" s="4">
        <v>0.22674825500000001</v>
      </c>
      <c r="T15" s="8"/>
      <c r="U15" s="4"/>
      <c r="V15" s="4"/>
      <c r="W15" s="4"/>
    </row>
    <row r="16" spans="1:24">
      <c r="A16" s="2" t="s">
        <v>16</v>
      </c>
      <c r="B16" s="2">
        <v>0.73414482000000003</v>
      </c>
      <c r="D16" s="1" t="s">
        <v>16</v>
      </c>
      <c r="E16" s="4">
        <v>16.28451123</v>
      </c>
      <c r="G16" s="1" t="s">
        <v>16</v>
      </c>
      <c r="H16" s="4">
        <v>-7.3525510819999997</v>
      </c>
      <c r="J16" s="1" t="s">
        <v>16</v>
      </c>
      <c r="K16" s="4">
        <v>0.16284511199999999</v>
      </c>
      <c r="T16" s="4"/>
      <c r="U16" s="8"/>
      <c r="V16" s="4"/>
      <c r="W16" s="4"/>
    </row>
    <row r="17" spans="1:23">
      <c r="T17" s="4"/>
      <c r="U17" s="8"/>
      <c r="V17" s="4"/>
      <c r="W17" s="4"/>
    </row>
    <row r="18" spans="1:23">
      <c r="T18" s="4"/>
      <c r="U18" s="8"/>
      <c r="V18" s="4"/>
      <c r="W18" s="4"/>
    </row>
    <row r="19" spans="1:23">
      <c r="A19" s="2" t="s">
        <v>0</v>
      </c>
      <c r="B19" s="3" t="s">
        <v>30</v>
      </c>
      <c r="D19" s="2" t="s">
        <v>0</v>
      </c>
      <c r="E19" s="2" t="s">
        <v>18</v>
      </c>
      <c r="G19" s="5" t="s">
        <v>0</v>
      </c>
      <c r="H19" s="7" t="s">
        <v>19</v>
      </c>
      <c r="J19" s="2" t="s">
        <v>0</v>
      </c>
      <c r="K19" s="3" t="s">
        <v>28</v>
      </c>
      <c r="T19" s="4"/>
      <c r="U19" s="8"/>
      <c r="V19" s="4"/>
      <c r="W19" s="4"/>
    </row>
    <row r="20" spans="1:23">
      <c r="A20" s="1" t="s">
        <v>13</v>
      </c>
      <c r="B20" s="4">
        <v>2.0514003220000001</v>
      </c>
      <c r="D20" s="2" t="s">
        <v>13</v>
      </c>
      <c r="E20" s="2">
        <v>-58.813186129999998</v>
      </c>
      <c r="G20" s="1" t="s">
        <v>13</v>
      </c>
      <c r="H20" s="4">
        <v>0.167482612</v>
      </c>
      <c r="J20" s="1" t="s">
        <v>13</v>
      </c>
      <c r="K20" s="4">
        <v>2.418623331</v>
      </c>
      <c r="T20" s="4"/>
      <c r="U20" s="8"/>
      <c r="V20" s="4"/>
      <c r="W20" s="4"/>
    </row>
    <row r="21" spans="1:23">
      <c r="A21" s="1" t="s">
        <v>14</v>
      </c>
      <c r="B21" s="4">
        <v>0.67540122199999997</v>
      </c>
      <c r="D21" s="2" t="s">
        <v>14</v>
      </c>
      <c r="E21" s="2">
        <v>-5.4836532760000001</v>
      </c>
      <c r="G21" s="1" t="s">
        <v>14</v>
      </c>
      <c r="H21" s="4">
        <v>0.414167224</v>
      </c>
      <c r="J21" s="1" t="s">
        <v>14</v>
      </c>
      <c r="K21" s="4">
        <v>3.8282567639999998</v>
      </c>
    </row>
    <row r="22" spans="1:23">
      <c r="A22" s="1" t="s">
        <v>15</v>
      </c>
      <c r="B22" s="4">
        <v>1.029691109</v>
      </c>
      <c r="D22" s="2" t="s">
        <v>15</v>
      </c>
      <c r="E22" s="2">
        <v>-14.069887980000001</v>
      </c>
      <c r="G22" s="1" t="s">
        <v>15</v>
      </c>
      <c r="H22" s="4">
        <v>0.28064524200000002</v>
      </c>
      <c r="J22" s="1" t="s">
        <v>15</v>
      </c>
      <c r="K22" s="4">
        <v>5.4517200859999999</v>
      </c>
    </row>
    <row r="23" spans="1:23">
      <c r="A23" s="1" t="s">
        <v>16</v>
      </c>
      <c r="B23" s="4">
        <v>0.76658712500000004</v>
      </c>
      <c r="D23" s="2" t="s">
        <v>16</v>
      </c>
      <c r="E23" s="2">
        <v>-7.3525510819999997</v>
      </c>
      <c r="G23" s="1" t="s">
        <v>16</v>
      </c>
      <c r="H23" s="4">
        <v>0.36117377499999997</v>
      </c>
      <c r="J23" s="1" t="s">
        <v>16</v>
      </c>
      <c r="K23" s="4">
        <v>3.7233693240000001</v>
      </c>
    </row>
    <row r="24" spans="1:23">
      <c r="J24" s="1" t="s">
        <v>17</v>
      </c>
      <c r="K24" s="4">
        <v>4.4575141440000001</v>
      </c>
    </row>
    <row r="25" spans="1:23">
      <c r="A25" s="2" t="s">
        <v>0</v>
      </c>
      <c r="B25" s="3" t="s">
        <v>31</v>
      </c>
      <c r="D25" s="2" t="s">
        <v>0</v>
      </c>
      <c r="E25" s="3" t="s">
        <v>20</v>
      </c>
      <c r="G25" s="2" t="s">
        <v>0</v>
      </c>
      <c r="H25" s="3" t="s">
        <v>21</v>
      </c>
      <c r="J25" s="2" t="s">
        <v>0</v>
      </c>
      <c r="K25" s="3" t="s">
        <v>27</v>
      </c>
    </row>
    <row r="26" spans="1:23">
      <c r="A26" s="1" t="s">
        <v>13</v>
      </c>
      <c r="B26" s="4">
        <v>-2.038890812</v>
      </c>
      <c r="D26" s="1" t="s">
        <v>13</v>
      </c>
      <c r="E26" s="4">
        <v>0.58218001699999999</v>
      </c>
      <c r="G26" s="1" t="s">
        <v>13</v>
      </c>
      <c r="H26" s="4">
        <v>-0.593033755</v>
      </c>
      <c r="J26" s="1" t="s">
        <v>13</v>
      </c>
      <c r="K26" s="4">
        <v>8.7602495000000002E-2</v>
      </c>
    </row>
    <row r="27" spans="1:23">
      <c r="A27" s="1" t="s">
        <v>14</v>
      </c>
      <c r="B27" s="4">
        <v>-0.62925737999999998</v>
      </c>
      <c r="D27" s="1" t="s">
        <v>14</v>
      </c>
      <c r="E27" s="4">
        <v>0.56114473600000003</v>
      </c>
      <c r="G27" s="1" t="s">
        <v>14</v>
      </c>
      <c r="H27" s="4">
        <v>-0.151888674</v>
      </c>
      <c r="J27" s="1" t="s">
        <v>14</v>
      </c>
      <c r="K27" s="4">
        <v>0.26265622700000002</v>
      </c>
    </row>
    <row r="28" spans="1:23">
      <c r="A28" s="1" t="s">
        <v>15</v>
      </c>
      <c r="B28" s="4">
        <v>0.99420594200000001</v>
      </c>
      <c r="D28" s="1" t="s">
        <v>15</v>
      </c>
      <c r="E28" s="4">
        <v>0.22895221900000001</v>
      </c>
      <c r="G28" s="1" t="s">
        <v>15</v>
      </c>
      <c r="H28" s="4">
        <v>0.20066251700000001</v>
      </c>
      <c r="J28" s="1" t="s">
        <v>15</v>
      </c>
      <c r="K28" s="4">
        <v>0.134681994</v>
      </c>
    </row>
    <row r="29" spans="1:23">
      <c r="A29" s="1" t="s">
        <v>16</v>
      </c>
      <c r="B29" s="4">
        <v>-0.73414482000000003</v>
      </c>
      <c r="D29" s="1" t="s">
        <v>16</v>
      </c>
      <c r="E29" s="4">
        <v>0.55884641199999996</v>
      </c>
      <c r="G29" s="1" t="s">
        <v>16</v>
      </c>
      <c r="H29" s="4">
        <v>-0.17947812699999999</v>
      </c>
      <c r="J29" s="1" t="s">
        <v>16</v>
      </c>
      <c r="K29" s="4">
        <v>0.13296719800000001</v>
      </c>
    </row>
    <row r="30" spans="1:23">
      <c r="J30" s="1" t="s">
        <v>17</v>
      </c>
      <c r="K30" s="4">
        <v>0.26963245800000002</v>
      </c>
    </row>
    <row r="31" spans="1:23">
      <c r="A31" s="2" t="s">
        <v>0</v>
      </c>
      <c r="B31" s="6" t="s">
        <v>32</v>
      </c>
    </row>
    <row r="32" spans="1:23">
      <c r="A32" s="1" t="s">
        <v>13</v>
      </c>
      <c r="B32" s="4">
        <v>0.02</v>
      </c>
    </row>
    <row r="33" spans="1:2">
      <c r="A33" s="1" t="s">
        <v>14</v>
      </c>
      <c r="B33" s="4">
        <v>0.76182931700000001</v>
      </c>
    </row>
    <row r="34" spans="1:2">
      <c r="A34" s="1" t="s">
        <v>15</v>
      </c>
      <c r="B34" s="4">
        <v>0.25394310599999997</v>
      </c>
    </row>
    <row r="35" spans="1:2">
      <c r="A35" s="1" t="s">
        <v>16</v>
      </c>
      <c r="B35" s="4">
        <v>0.33859080800000002</v>
      </c>
    </row>
  </sheetData>
  <pageMargins left="0.7" right="0.7" top="0.75" bottom="0.75" header="0.3" footer="0.3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40A9-9B56-E340-83F2-06A7FFA281C5}">
  <dimension ref="B2:D8"/>
  <sheetViews>
    <sheetView workbookViewId="0">
      <selection activeCell="B22" sqref="B22"/>
    </sheetView>
  </sheetViews>
  <sheetFormatPr defaultColWidth="11.5546875" defaultRowHeight="14.4"/>
  <cols>
    <col min="2" max="2" width="12.77734375" bestFit="1" customWidth="1"/>
    <col min="3" max="3" width="23.77734375" bestFit="1" customWidth="1"/>
    <col min="4" max="4" width="10.77734375" bestFit="1" customWidth="1"/>
  </cols>
  <sheetData>
    <row r="2" spans="2:4">
      <c r="B2" s="11" t="s">
        <v>33</v>
      </c>
      <c r="C2" s="11"/>
      <c r="D2" s="9"/>
    </row>
    <row r="4" spans="2:4">
      <c r="B4" s="10" t="s">
        <v>34</v>
      </c>
      <c r="C4" s="10" t="s">
        <v>35</v>
      </c>
      <c r="D4" s="10" t="s">
        <v>36</v>
      </c>
    </row>
    <row r="5" spans="2:4">
      <c r="B5" s="10" t="s">
        <v>14</v>
      </c>
      <c r="C5" s="1">
        <v>0.86143000000000003</v>
      </c>
      <c r="D5" s="1">
        <v>1</v>
      </c>
    </row>
    <row r="6" spans="2:4">
      <c r="B6" s="10" t="s">
        <v>16</v>
      </c>
      <c r="C6" s="1">
        <v>0.79535999999999996</v>
      </c>
      <c r="D6" s="1">
        <v>2</v>
      </c>
    </row>
    <row r="7" spans="2:4">
      <c r="B7" s="10" t="s">
        <v>15</v>
      </c>
      <c r="C7" s="1">
        <v>0.56361000000000006</v>
      </c>
      <c r="D7" s="1">
        <v>3</v>
      </c>
    </row>
    <row r="8" spans="2:4">
      <c r="B8" s="10" t="s">
        <v>13</v>
      </c>
      <c r="C8" s="10">
        <v>0.27272999999999997</v>
      </c>
      <c r="D8" s="1">
        <v>4</v>
      </c>
    </row>
  </sheetData>
  <mergeCells count="1">
    <mergeCell ref="B2:C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final_results0</vt:lpstr>
      <vt:lpstr>MULTI-METRIC 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Abid</cp:lastModifiedBy>
  <dcterms:created xsi:type="dcterms:W3CDTF">2024-08-11T02:43:40Z</dcterms:created>
  <dcterms:modified xsi:type="dcterms:W3CDTF">2026-09-30T11:11:00Z</dcterms:modified>
</cp:coreProperties>
</file>